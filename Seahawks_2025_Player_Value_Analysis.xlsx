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eo\Downloads\"/>
    </mc:Choice>
  </mc:AlternateContent>
  <xr:revisionPtr revIDLastSave="0" documentId="8_{02A93A8E-696D-44F4-9F9E-DD90560DF01A}" xr6:coauthVersionLast="47" xr6:coauthVersionMax="47" xr10:uidLastSave="{00000000-0000-0000-0000-000000000000}"/>
  <bookViews>
    <workbookView xWindow="-120" yWindow="-120" windowWidth="29040" windowHeight="15720" xr2:uid="{EC12CD56-28E9-4364-B971-8BDE8B79EE56}"/>
  </bookViews>
  <sheets>
    <sheet name="Position Analysis" sheetId="2" r:id="rId1"/>
    <sheet name="Player 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2" l="1"/>
  <c r="H5" i="2"/>
  <c r="H3" i="2"/>
  <c r="I2" i="1"/>
  <c r="I3" i="1"/>
  <c r="I4" i="1"/>
  <c r="I5" i="1"/>
  <c r="I6" i="1"/>
  <c r="I7" i="1"/>
  <c r="I8" i="1"/>
  <c r="I9" i="1"/>
  <c r="I10" i="1"/>
  <c r="G10" i="1"/>
  <c r="H10" i="1" s="1"/>
  <c r="G5" i="1"/>
  <c r="H5" i="1" s="1"/>
  <c r="G7" i="1"/>
  <c r="H7" i="1" s="1"/>
  <c r="G8" i="1"/>
  <c r="H8" i="1" s="1"/>
  <c r="G6" i="1"/>
  <c r="H6" i="1" s="1"/>
  <c r="G9" i="1"/>
  <c r="H9" i="1" s="1"/>
  <c r="G3" i="1"/>
  <c r="H3" i="1" s="1"/>
  <c r="G4" i="1"/>
  <c r="H4" i="1" s="1"/>
  <c r="G2" i="1"/>
  <c r="H2" i="1" s="1"/>
</calcChain>
</file>

<file path=xl/sharedStrings.xml><?xml version="1.0" encoding="utf-8"?>
<sst xmlns="http://schemas.openxmlformats.org/spreadsheetml/2006/main" count="56" uniqueCount="37">
  <si>
    <t>Player</t>
  </si>
  <si>
    <t>Position</t>
  </si>
  <si>
    <t>Rushing Yards</t>
  </si>
  <si>
    <t>Receiving Yards</t>
  </si>
  <si>
    <t>Total TDs</t>
  </si>
  <si>
    <t>2025 Cap Hit</t>
  </si>
  <si>
    <t>Scrimmage Yards</t>
  </si>
  <si>
    <t>Kenneth Walker III</t>
  </si>
  <si>
    <t>RB</t>
  </si>
  <si>
    <t>Zach Charbonnet</t>
  </si>
  <si>
    <t>Jaxon Smith-Njigba</t>
  </si>
  <si>
    <t>WR</t>
  </si>
  <si>
    <t>Cooper Kupp</t>
  </si>
  <si>
    <t>AJ Barner</t>
  </si>
  <si>
    <t>TE</t>
  </si>
  <si>
    <t>Rashid Shaheed</t>
  </si>
  <si>
    <t>Elijah Arroyo</t>
  </si>
  <si>
    <t>Tory Horton</t>
  </si>
  <si>
    <t>George Holani</t>
  </si>
  <si>
    <t>Yards per $1M Cap</t>
  </si>
  <si>
    <t>TDs per $1M Cap</t>
  </si>
  <si>
    <t>Row Labels</t>
  </si>
  <si>
    <t>Grand Total</t>
  </si>
  <si>
    <t>Sum of Scrimmage Yards</t>
  </si>
  <si>
    <t>Sum of 2025 Cap Hit</t>
  </si>
  <si>
    <t>Sum of Total TDs</t>
  </si>
  <si>
    <t>Sum</t>
  </si>
  <si>
    <t>Average</t>
  </si>
  <si>
    <t>Running Total</t>
  </si>
  <si>
    <t>Count</t>
  </si>
  <si>
    <t>“Among the nine selected players, RBs produced the most scrimmage yards per $1 million of 2025 cap hit. WRs produced the most total scrimmage yards.”</t>
  </si>
  <si>
    <t>Sources and methodology</t>
  </si>
  <si>
    <t>Player rushing yards, receiving yards, and touchdowns: https://www.seahawks.com/team/stats/2025/reg</t>
  </si>
  <si>
    <t>2025 player cap hits: https://www.spotrac.com/nfl/rankings/player/_/year/2025/team/sea/position/off/sort/cap_total</t>
  </si>
  <si>
    <t>Scope: Nine selected Seahawks RB, WR, and TE players; not the full roster.</t>
  </si>
  <si>
    <t>Scrimmage yards = rushing yards + receiving yards. Total TDs = rushing TDs + receiving TDs.</t>
  </si>
  <si>
    <t>Yards per $1M cap = scrimmage yards ÷ (2025 cap hit ÷ 1,000,000).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</si>
</sst>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&quot;$&quot;#,##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color theme="1"/>
      <name val="Aptos Narrow"/>
      <family val="2"/>
      <scheme val="minor"/>
    </font>
    <font>
      <sz val="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169" fontId="0" fillId="0" borderId="0" xfId="0" applyNumberFormat="1" applyAlignment="1">
      <alignment vertical="center" wrapText="1"/>
    </xf>
    <xf numFmtId="169" fontId="0" fillId="0" borderId="0" xfId="0" applyNumberFormat="1"/>
    <xf numFmtId="0" fontId="0" fillId="0" borderId="0" xfId="0" pivotButton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169" fontId="1" fillId="0" borderId="0" xfId="0" applyNumberFormat="1" applyFont="1"/>
    <xf numFmtId="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7">
    <dxf>
      <numFmt numFmtId="4" formatCode="#,##0.00"/>
    </dxf>
    <dxf>
      <font>
        <b/>
        <color theme="0"/>
      </font>
    </dxf>
    <dxf>
      <font>
        <b/>
        <color theme="0"/>
      </font>
    </dxf>
    <dxf>
      <font>
        <b/>
        <color theme="0"/>
      </font>
      <fill>
        <patternFill patternType="solid">
          <fgColor theme="6" tint="-0.249977111117893"/>
          <bgColor theme="6" tint="-0.249977111117893"/>
        </patternFill>
      </fill>
    </dxf>
    <dxf>
      <border>
        <bottom style="thin">
          <color theme="6" tint="0.39997558519241921"/>
        </bottom>
      </border>
    </dxf>
    <dxf>
      <font>
        <b/>
        <color theme="0"/>
      </font>
    </dxf>
    <dxf>
      <fill>
        <patternFill patternType="solid">
          <fgColor theme="6" tint="-0.249977111117893"/>
          <bgColor theme="6" tint="-0.249977111117893"/>
        </patternFill>
      </fill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bgColor auto="1"/>
        </patternFill>
      </fill>
      <border>
        <left style="thin">
          <color theme="6" tint="0.39997558519241921"/>
        </left>
        <right style="thin">
          <color theme="6" tint="0.39997558519241921"/>
        </right>
      </border>
    </dxf>
    <dxf>
      <border>
        <top style="thin">
          <color theme="6" tint="0.39997558519241921"/>
        </top>
        <bottom style="thin">
          <color theme="6" tint="0.39997558519241921"/>
        </bottom>
      </border>
    </dxf>
    <dxf>
      <font>
        <b/>
        <color theme="0"/>
      </font>
      <fill>
        <patternFill patternType="solid">
          <fgColor theme="3" tint="9.9948118533890809E-2"/>
          <bgColor rgb="FF002060"/>
        </patternFill>
      </fill>
    </dxf>
    <dxf>
      <font>
        <b/>
        <color theme="0"/>
      </font>
      <fill>
        <patternFill patternType="solid">
          <fgColor theme="3" tint="0.24994659260841701"/>
          <bgColor rgb="FF002060"/>
        </patternFill>
      </fill>
    </dxf>
    <dxf>
      <font>
        <color theme="6" tint="0.79998168889431442"/>
      </font>
      <fill>
        <patternFill patternType="solid">
          <fgColor theme="6"/>
          <bgColor theme="6"/>
        </patternFill>
      </fill>
    </dxf>
    <dxf>
      <fill>
        <patternFill patternType="solid">
          <fgColor theme="3"/>
          <bgColor rgb="FF002060"/>
        </patternFill>
      </fill>
    </dxf>
    <dxf>
      <fill>
        <patternFill patternType="solid">
          <fgColor theme="6" tint="-0.249977111117893"/>
          <bgColor theme="6" tint="-0.249977111117893"/>
        </patternFill>
      </fill>
    </dxf>
    <dxf>
      <font>
        <b/>
        <color theme="0"/>
      </font>
      <fill>
        <patternFill patternType="solid">
          <fgColor theme="6" tint="-0.249977111117893"/>
          <bgColor theme="6" tint="-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6" tint="-0.249977111117893"/>
          <bgColor theme="6" tint="-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6" tint="-0.499984740745262"/>
          <bgColor theme="6" tint="-0.499984740745262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3" tint="0.24994659260841701"/>
          <bgColor theme="3" tint="0.2499465926084170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6"/>
          <bgColor theme="6"/>
        </patternFill>
      </fill>
    </dxf>
    <dxf>
      <font>
        <b/>
      </font>
    </dxf>
    <dxf>
      <font>
        <b/>
      </font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numFmt numFmtId="169" formatCode="&quot;$&quot;#,##0"/>
    </dxf>
    <dxf>
      <numFmt numFmtId="2" formatCode="0.00"/>
    </dxf>
    <dxf>
      <numFmt numFmtId="2" formatCode="0.00"/>
    </dxf>
    <dxf>
      <alignment horizontal="general" vertical="center" textRotation="0" wrapText="1" indent="0" justifyLastLine="0" shrinkToFit="0" readingOrder="0"/>
    </dxf>
  </dxfs>
  <tableStyles count="3" defaultTableStyle="TableStyleMedium2" defaultPivotStyle="PivotStyleLight16">
    <tableStyle name="PivotStyleDark18 2" table="0" count="11" xr9:uid="{EAE04B50-92D5-4634-998C-C3DA30BBE9A9}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</tableStyle>
    <tableStyle name="PivotTable Style 1" table="0" count="2" xr9:uid="{89646F71-7461-4266-A6C9-70C8DE7B5DC2}">
      <tableStyleElement type="wholeTable" dxfId="22"/>
      <tableStyleElement type="pageFieldLabels" dxfId="21"/>
    </tableStyle>
    <tableStyle name="TableStyleDark4 2" pivot="0" count="7" xr9:uid="{A82BAFD5-ED98-420E-BA0B-B56F1803E7C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2025 Seahawks: Scrimmage Yards per $1M Cap by Position</a:t>
            </a:r>
          </a:p>
          <a:p>
            <a:pPr>
              <a:defRPr/>
            </a:pPr>
            <a:r>
              <a:rPr lang="en-US">
                <a:solidFill>
                  <a:srgbClr val="00206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1069722222222222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'Position Analysis'!$H$2</c:f>
              <c:strCache>
                <c:ptCount val="1"/>
                <c:pt idx="0">
                  <c:v>Yards per $1M Cap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'Position Analysis'!$G$3:$G$5</c:f>
              <c:strCache>
                <c:ptCount val="3"/>
                <c:pt idx="0">
                  <c:v>RB</c:v>
                </c:pt>
                <c:pt idx="1">
                  <c:v>TE</c:v>
                </c:pt>
                <c:pt idx="2">
                  <c:v>WR</c:v>
                </c:pt>
              </c:strCache>
            </c:strRef>
          </c:cat>
          <c:val>
            <c:numRef>
              <c:f>'Position Analysis'!$H$3:$H$5</c:f>
              <c:numCache>
                <c:formatCode>#,##0.00</c:formatCode>
                <c:ptCount val="3"/>
                <c:pt idx="0">
                  <c:v>420.70256773061249</c:v>
                </c:pt>
                <c:pt idx="1">
                  <c:v>257.56274022156907</c:v>
                </c:pt>
                <c:pt idx="2">
                  <c:v>173.73924295162564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8-4987-8ACD-163AE6C35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3204816"/>
        <c:axId val="398913648"/>
      </c:barChart>
      <c:catAx>
        <c:axId val="39320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913648"/>
        <c:crosses val="autoZero"/>
        <c:auto val="1"/>
        <c:lblAlgn val="ctr"/>
        <c:lblOffset val="100"/>
        <c:noMultiLvlLbl val="0"/>
      </c:catAx>
      <c:valAx>
        <c:axId val="3989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0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1343025</xdr:colOff>
      <xdr:row>10</xdr:row>
      <xdr:rowOff>185737</xdr:rowOff>
    </xdr:from>
    <xdr:to>
      <xdr:col>7</xdr:col>
      <xdr:colOff>161925</xdr:colOff>
      <xdr:row>25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0BF12-DFB0-8CE4-BC48-1991ADBCB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ke Okoroafor" refreshedDate="46288.701597916668" createdVersion="8" refreshedVersion="8" minRefreshableVersion="3" recordCount="9" xr:uid="{D70DB07B-D2D1-4879-A0E3-4342EFC0C7DB}">
  <cacheSource type="worksheet">
    <worksheetSource ref="A1:I10" sheet="Player Data"/>
  </cacheSource>
  <cacheFields count="9">
    <cacheField name="Player" numFmtId="0">
      <sharedItems/>
    </cacheField>
    <cacheField name="Position" numFmtId="0">
      <sharedItems count="3">
        <s v="RB"/>
        <s v="WR"/>
        <s v="TE"/>
      </sharedItems>
    </cacheField>
    <cacheField name="Rushing Yards" numFmtId="0">
      <sharedItems containsSemiMixedTypes="0" containsString="0" containsNumber="1" containsInteger="1" minValue="0" maxValue="1027"/>
    </cacheField>
    <cacheField name="Receiving Yards" numFmtId="0">
      <sharedItems containsSemiMixedTypes="0" containsString="0" containsNumber="1" containsInteger="1" minValue="15" maxValue="1793"/>
    </cacheField>
    <cacheField name="Total TDs" numFmtId="0">
      <sharedItems containsSemiMixedTypes="0" containsString="0" containsNumber="1" containsInteger="1" minValue="0" maxValue="12"/>
    </cacheField>
    <cacheField name="2025 Cap Hit" numFmtId="169">
      <sharedItems containsSemiMixedTypes="0" containsString="0" containsNumber="1" containsInteger="1" minValue="799499" maxValue="9478820"/>
    </cacheField>
    <cacheField name="Scrimmage Yards" numFmtId="0">
      <sharedItems containsSemiMixedTypes="0" containsString="0" containsNumber="1" containsInteger="1" minValue="88" maxValue="1829"/>
    </cacheField>
    <cacheField name="Yards per $1M Cap" numFmtId="2">
      <sharedItems containsSemiMixedTypes="0" containsString="0" containsNumber="1" minValue="62.560529686184566" maxValue="485.98171090065517"/>
    </cacheField>
    <cacheField name="TDs per $1M Cap" numFmtId="2">
      <sharedItems containsSemiMixedTypes="0" containsString="0" containsNumber="1" minValue="0" maxValue="6.36904136373913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Kenneth Walker III"/>
    <x v="0"/>
    <n v="1027"/>
    <n v="282"/>
    <n v="5"/>
    <n v="2693517"/>
    <n v="1309"/>
    <n v="485.98171090065517"/>
    <n v="1.8563090561522353"/>
  </r>
  <r>
    <s v="Jaxon Smith-Njigba"/>
    <x v="1"/>
    <n v="36"/>
    <n v="1793"/>
    <n v="10"/>
    <n v="3939238"/>
    <n v="1829"/>
    <n v="464.30299464008016"/>
    <n v="2.5385620264629858"/>
  </r>
  <r>
    <s v="Zach Charbonnet"/>
    <x v="0"/>
    <n v="730"/>
    <n v="144"/>
    <n v="12"/>
    <n v="1884114"/>
    <n v="874"/>
    <n v="463.87851265900042"/>
    <n v="6.3690413637391368"/>
  </r>
  <r>
    <s v="AJ Barner"/>
    <x v="2"/>
    <n v="14"/>
    <n v="519"/>
    <n v="7"/>
    <n v="1157597"/>
    <n v="533"/>
    <n v="460.43657680522671"/>
    <n v="6.0470094514757724"/>
  </r>
  <r>
    <s v="Tory Horton"/>
    <x v="1"/>
    <n v="0"/>
    <n v="161"/>
    <n v="5"/>
    <n v="799499"/>
    <n v="161"/>
    <n v="201.37611179000851"/>
    <n v="6.2539165152176555"/>
  </r>
  <r>
    <s v="Rashid Shaheed"/>
    <x v="1"/>
    <n v="64"/>
    <n v="188"/>
    <n v="0"/>
    <n v="2100000"/>
    <n v="252"/>
    <n v="120"/>
    <n v="0"/>
  </r>
  <r>
    <s v="Elijah Arroyo"/>
    <x v="2"/>
    <n v="0"/>
    <n v="179"/>
    <n v="1"/>
    <n v="1606778"/>
    <n v="179"/>
    <n v="111.40306875000778"/>
    <n v="0.62236351256987588"/>
  </r>
  <r>
    <s v="George Holani"/>
    <x v="0"/>
    <n v="73"/>
    <n v="15"/>
    <n v="1"/>
    <n v="820482"/>
    <n v="88"/>
    <n v="107.25402872945415"/>
    <n v="1.2187957810165244"/>
  </r>
  <r>
    <s v="Cooper Kupp"/>
    <x v="1"/>
    <n v="0"/>
    <n v="593"/>
    <n v="2"/>
    <n v="9478820"/>
    <n v="593"/>
    <n v="62.560529686184566"/>
    <n v="0.210996727440757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19E51-16A7-47FD-8147-B355B999D17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9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numFmtId="169" showAll="0"/>
    <pivotField dataField="1" showAll="0"/>
    <pivotField numFmtId="2" showAll="0"/>
    <pivotField numFmtId="2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crimmage Yards" fld="6" baseField="0" baseItem="0"/>
    <dataField name="Sum of 2025 Cap Hit" fld="5" baseField="0" baseItem="0" numFmtId="169"/>
    <dataField name="Sum of Total TDs" fld="4" baseField="0" baseItem="0"/>
  </dataFields>
  <formats count="2">
    <format dxfId="20">
      <pivotArea field="1" dataOnly="0" grandRow="1" axis="axisRow" fieldPosition="0">
        <references count="1">
          <reference field="1" count="0"/>
        </references>
      </pivotArea>
    </format>
    <format dxfId="19">
      <pivotArea dataOnly="0" fieldPosition="0">
        <references count="1">
          <reference field="1" count="0"/>
        </references>
      </pivotArea>
    </format>
  </formats>
  <pivotTableStyleInfo name="PivotStyleDark18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CF06EE-A670-4580-A893-F0369B002F6B}" name="Table2" displayName="Table2" ref="G2:H5" totalsRowShown="0">
  <autoFilter ref="G2:H5" xr:uid="{9ACF06EE-A670-4580-A893-F0369B002F6B}"/>
  <tableColumns count="2">
    <tableColumn id="1" xr3:uid="{2928B804-313B-41D5-85FF-B07EF58904CE}" name="Position"/>
    <tableColumn id="2" xr3:uid="{F98F71D5-031E-46B7-84DC-6A5BD92F68A8}" name="Yards per $1M Cap" dataDxfId="0">
      <calculatedColumnFormula>B4/(C4/1000000)</calculatedColumnFormula>
    </tableColumn>
  </tableColumns>
  <tableStyleInfo name="TableStyleDark4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6532B-F914-4C11-BA83-BD91D15D3C9B}" name="Table1" displayName="Table1" ref="A1:I10" totalsRowShown="0" headerRowDxfId="26">
  <autoFilter ref="A1:I10" xr:uid="{AAA6532B-F914-4C11-BA83-BD91D15D3C9B}"/>
  <sortState xmlns:xlrd2="http://schemas.microsoft.com/office/spreadsheetml/2017/richdata2" ref="A2:H10">
    <sortCondition descending="1" ref="H1:H10"/>
  </sortState>
  <tableColumns count="9">
    <tableColumn id="1" xr3:uid="{B1D53658-3D2B-4E18-B9C4-AE525D15C104}" name="Player"/>
    <tableColumn id="2" xr3:uid="{9A2DB3CB-8A1B-4452-BEE8-3CC6F2C65C62}" name="Position"/>
    <tableColumn id="3" xr3:uid="{42D1157B-D49C-44C4-A4D2-A2CE686AB996}" name="Rushing Yards"/>
    <tableColumn id="4" xr3:uid="{115828A2-39AB-4713-A6FF-9D252EBAA86E}" name="Receiving Yards"/>
    <tableColumn id="5" xr3:uid="{C54E3249-EF3E-43B4-B96B-A43AFEA0295C}" name="Total TDs"/>
    <tableColumn id="6" xr3:uid="{F040EF15-DBBF-4B96-AD97-144012F807F2}" name="2025 Cap Hit" dataDxfId="23"/>
    <tableColumn id="7" xr3:uid="{F98C8CC4-BFDD-4BDD-AB71-06B049FC5370}" name="Scrimmage Yards">
      <calculatedColumnFormula>C2+D2</calculatedColumnFormula>
    </tableColumn>
    <tableColumn id="8" xr3:uid="{20B2B893-12F0-4486-843A-113F233525D2}" name="Yards per $1M Cap" dataDxfId="25">
      <calculatedColumnFormula>G2/(F2/1000000)</calculatedColumnFormula>
    </tableColumn>
    <tableColumn id="9" xr3:uid="{B7DDB248-1875-4FAF-99DC-411976AF9C63}" name="TDs per $1M Cap" dataDxfId="24">
      <calculatedColumnFormula>E2/(F2/1000000)</calculatedColumnFormula>
    </tableColumn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F487-802D-4A65-ABAD-7A5CEF574AE7}">
  <dimension ref="A2:H31"/>
  <sheetViews>
    <sheetView tabSelected="1" workbookViewId="0">
      <selection activeCell="A32" sqref="A32"/>
    </sheetView>
  </sheetViews>
  <sheetFormatPr defaultRowHeight="15"/>
  <cols>
    <col min="1" max="1" width="13.42578125" bestFit="1" customWidth="1"/>
    <col min="2" max="2" width="23.5703125" bestFit="1" customWidth="1"/>
    <col min="3" max="3" width="19.140625" bestFit="1" customWidth="1"/>
    <col min="4" max="4" width="16.140625" bestFit="1" customWidth="1"/>
    <col min="7" max="7" width="10.5703125" customWidth="1"/>
    <col min="8" max="8" width="19.5703125" customWidth="1"/>
    <col min="9" max="9" width="11.28515625" customWidth="1"/>
  </cols>
  <sheetData>
    <row r="2" spans="1:8">
      <c r="G2" t="s">
        <v>1</v>
      </c>
      <c r="H2" t="s">
        <v>19</v>
      </c>
    </row>
    <row r="3" spans="1:8">
      <c r="A3" s="6" t="s">
        <v>21</v>
      </c>
      <c r="B3" t="s">
        <v>23</v>
      </c>
      <c r="C3" t="s">
        <v>24</v>
      </c>
      <c r="D3" t="s">
        <v>25</v>
      </c>
      <c r="G3" s="7" t="s">
        <v>8</v>
      </c>
      <c r="H3" s="11">
        <f>B4/(C4/1000000)</f>
        <v>420.70256773061249</v>
      </c>
    </row>
    <row r="4" spans="1:8">
      <c r="A4" s="8" t="s">
        <v>8</v>
      </c>
      <c r="B4" s="9">
        <v>2271</v>
      </c>
      <c r="C4" s="10">
        <v>5398113</v>
      </c>
      <c r="D4" s="9">
        <v>18</v>
      </c>
      <c r="G4" t="s">
        <v>14</v>
      </c>
      <c r="H4" s="11">
        <f>B5/(C5/1000000)</f>
        <v>257.56274022156907</v>
      </c>
    </row>
    <row r="5" spans="1:8">
      <c r="A5" s="8" t="s">
        <v>14</v>
      </c>
      <c r="B5" s="9">
        <v>712</v>
      </c>
      <c r="C5" s="10">
        <v>2764375</v>
      </c>
      <c r="D5" s="9">
        <v>8</v>
      </c>
      <c r="G5" t="s">
        <v>11</v>
      </c>
      <c r="H5" s="11">
        <f>B6/(C6/1000000)</f>
        <v>173.73924295162564</v>
      </c>
    </row>
    <row r="6" spans="1:8">
      <c r="A6" s="8" t="s">
        <v>11</v>
      </c>
      <c r="B6" s="9">
        <v>2835</v>
      </c>
      <c r="C6" s="10">
        <v>16317557</v>
      </c>
      <c r="D6" s="9">
        <v>17</v>
      </c>
    </row>
    <row r="7" spans="1:8">
      <c r="A7" s="8" t="s">
        <v>22</v>
      </c>
      <c r="B7" s="9">
        <v>5818</v>
      </c>
      <c r="C7" s="10">
        <v>24480045</v>
      </c>
      <c r="D7" s="9">
        <v>43</v>
      </c>
    </row>
    <row r="31" spans="1:1">
      <c r="A31" t="s">
        <v>30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CE68-D423-4F0B-A874-73F01A3C28EE}">
  <dimension ref="A1:I17"/>
  <sheetViews>
    <sheetView workbookViewId="0">
      <selection activeCell="C17" sqref="C17"/>
    </sheetView>
  </sheetViews>
  <sheetFormatPr defaultRowHeight="15"/>
  <cols>
    <col min="1" max="1" width="18.28515625" bestFit="1" customWidth="1"/>
    <col min="2" max="2" width="10.5703125" customWidth="1"/>
    <col min="3" max="3" width="15.85546875" customWidth="1"/>
    <col min="4" max="4" width="17.42578125" customWidth="1"/>
    <col min="5" max="5" width="11.42578125" customWidth="1"/>
    <col min="6" max="6" width="14.28515625" customWidth="1"/>
    <col min="7" max="7" width="18.5703125" customWidth="1"/>
    <col min="8" max="8" width="19.5703125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19</v>
      </c>
      <c r="I1" s="3" t="s">
        <v>20</v>
      </c>
    </row>
    <row r="2" spans="1:9">
      <c r="A2" t="s">
        <v>7</v>
      </c>
      <c r="B2" t="s">
        <v>8</v>
      </c>
      <c r="C2">
        <v>1027</v>
      </c>
      <c r="D2">
        <v>282</v>
      </c>
      <c r="E2">
        <v>5</v>
      </c>
      <c r="F2" s="4">
        <v>2693517</v>
      </c>
      <c r="G2">
        <f>C2+D2</f>
        <v>1309</v>
      </c>
      <c r="H2" s="2">
        <f>G2/(F2/1000000)</f>
        <v>485.98171090065517</v>
      </c>
      <c r="I2" s="2">
        <f t="shared" ref="I2:I10" si="0">E2/(F2/1000000)</f>
        <v>1.8563090561522353</v>
      </c>
    </row>
    <row r="3" spans="1:9">
      <c r="A3" t="s">
        <v>10</v>
      </c>
      <c r="B3" t="s">
        <v>11</v>
      </c>
      <c r="C3">
        <v>36</v>
      </c>
      <c r="D3" s="1">
        <v>1793</v>
      </c>
      <c r="E3" s="1">
        <v>10</v>
      </c>
      <c r="F3" s="5">
        <v>3939238</v>
      </c>
      <c r="G3">
        <f>C3+D3</f>
        <v>1829</v>
      </c>
      <c r="H3" s="2">
        <f>G3/(F3/1000000)</f>
        <v>464.30299464008016</v>
      </c>
      <c r="I3" s="2">
        <f t="shared" si="0"/>
        <v>2.5385620264629858</v>
      </c>
    </row>
    <row r="4" spans="1:9">
      <c r="A4" t="s">
        <v>9</v>
      </c>
      <c r="B4" t="s">
        <v>8</v>
      </c>
      <c r="C4">
        <v>730</v>
      </c>
      <c r="D4" s="1">
        <v>144</v>
      </c>
      <c r="E4" s="1">
        <v>12</v>
      </c>
      <c r="F4" s="4">
        <v>1884114</v>
      </c>
      <c r="G4">
        <f>C4+D4</f>
        <v>874</v>
      </c>
      <c r="H4" s="2">
        <f>G4/(F4/1000000)</f>
        <v>463.87851265900042</v>
      </c>
      <c r="I4" s="2">
        <f t="shared" si="0"/>
        <v>6.3690413637391368</v>
      </c>
    </row>
    <row r="5" spans="1:9">
      <c r="A5" t="s">
        <v>13</v>
      </c>
      <c r="B5" t="s">
        <v>14</v>
      </c>
      <c r="C5">
        <v>14</v>
      </c>
      <c r="D5">
        <v>519</v>
      </c>
      <c r="E5">
        <v>7</v>
      </c>
      <c r="F5" s="5">
        <v>1157597</v>
      </c>
      <c r="G5">
        <f>C5+D5</f>
        <v>533</v>
      </c>
      <c r="H5" s="2">
        <f>G5/(F5/1000000)</f>
        <v>460.43657680522671</v>
      </c>
      <c r="I5" s="2">
        <f t="shared" si="0"/>
        <v>6.0470094514757724</v>
      </c>
    </row>
    <row r="6" spans="1:9">
      <c r="A6" t="s">
        <v>17</v>
      </c>
      <c r="B6" t="s">
        <v>11</v>
      </c>
      <c r="C6">
        <v>0</v>
      </c>
      <c r="D6">
        <v>161</v>
      </c>
      <c r="E6">
        <v>5</v>
      </c>
      <c r="F6" s="5">
        <v>799499</v>
      </c>
      <c r="G6">
        <f>C6+D6</f>
        <v>161</v>
      </c>
      <c r="H6" s="2">
        <f>G6/(F6/1000000)</f>
        <v>201.37611179000851</v>
      </c>
      <c r="I6" s="2">
        <f t="shared" si="0"/>
        <v>6.2539165152176555</v>
      </c>
    </row>
    <row r="7" spans="1:9">
      <c r="A7" t="s">
        <v>15</v>
      </c>
      <c r="B7" t="s">
        <v>11</v>
      </c>
      <c r="C7">
        <v>64</v>
      </c>
      <c r="D7">
        <v>188</v>
      </c>
      <c r="E7">
        <v>0</v>
      </c>
      <c r="F7" s="5">
        <v>2100000</v>
      </c>
      <c r="G7">
        <f>C7+D7</f>
        <v>252</v>
      </c>
      <c r="H7" s="2">
        <f>G7/(F7/1000000)</f>
        <v>120</v>
      </c>
      <c r="I7" s="2">
        <f t="shared" si="0"/>
        <v>0</v>
      </c>
    </row>
    <row r="8" spans="1:9">
      <c r="A8" t="s">
        <v>16</v>
      </c>
      <c r="B8" t="s">
        <v>14</v>
      </c>
      <c r="C8">
        <v>0</v>
      </c>
      <c r="D8">
        <v>179</v>
      </c>
      <c r="E8">
        <v>1</v>
      </c>
      <c r="F8" s="5">
        <v>1606778</v>
      </c>
      <c r="G8">
        <f>C8+D8</f>
        <v>179</v>
      </c>
      <c r="H8" s="2">
        <f>G8/(F8/1000000)</f>
        <v>111.40306875000778</v>
      </c>
      <c r="I8" s="2">
        <f t="shared" si="0"/>
        <v>0.62236351256987588</v>
      </c>
    </row>
    <row r="9" spans="1:9">
      <c r="A9" t="s">
        <v>18</v>
      </c>
      <c r="B9" t="s">
        <v>8</v>
      </c>
      <c r="C9">
        <v>73</v>
      </c>
      <c r="D9">
        <v>15</v>
      </c>
      <c r="E9">
        <v>1</v>
      </c>
      <c r="F9" s="5">
        <v>820482</v>
      </c>
      <c r="G9">
        <f>C9+D9</f>
        <v>88</v>
      </c>
      <c r="H9" s="2">
        <f>G9/(F9/1000000)</f>
        <v>107.25402872945415</v>
      </c>
      <c r="I9" s="2">
        <f t="shared" si="0"/>
        <v>1.2187957810165244</v>
      </c>
    </row>
    <row r="10" spans="1:9">
      <c r="A10" t="s">
        <v>12</v>
      </c>
      <c r="B10" t="s">
        <v>11</v>
      </c>
      <c r="C10">
        <v>0</v>
      </c>
      <c r="D10" s="1">
        <v>593</v>
      </c>
      <c r="E10" s="1">
        <v>2</v>
      </c>
      <c r="F10" s="5">
        <v>9478820</v>
      </c>
      <c r="G10">
        <f>C10+D10</f>
        <v>593</v>
      </c>
      <c r="H10" s="2">
        <f>G10/(F10/1000000)</f>
        <v>62.560529686184566</v>
      </c>
      <c r="I10" s="2">
        <f t="shared" si="0"/>
        <v>0.21099672744075737</v>
      </c>
    </row>
    <row r="12" spans="1:9">
      <c r="A12" s="13" t="s">
        <v>31</v>
      </c>
      <c r="B12" s="13"/>
      <c r="C12" s="13"/>
      <c r="D12" s="13"/>
      <c r="E12" s="13"/>
      <c r="F12" s="12"/>
      <c r="G12" s="12"/>
    </row>
    <row r="13" spans="1:9">
      <c r="A13" s="13" t="s">
        <v>32</v>
      </c>
      <c r="B13" s="13"/>
      <c r="C13" s="13"/>
      <c r="D13" s="13"/>
      <c r="E13" s="13"/>
      <c r="F13" s="12"/>
      <c r="G13" s="12"/>
    </row>
    <row r="14" spans="1:9">
      <c r="A14" s="13" t="s">
        <v>33</v>
      </c>
      <c r="B14" s="13"/>
      <c r="C14" s="13"/>
      <c r="D14" s="13"/>
      <c r="E14" s="13"/>
      <c r="F14" s="12"/>
      <c r="G14" s="12"/>
    </row>
    <row r="15" spans="1:9">
      <c r="A15" s="13" t="s">
        <v>34</v>
      </c>
      <c r="B15" s="13"/>
      <c r="C15" s="13"/>
      <c r="D15" s="13"/>
      <c r="E15" s="13"/>
      <c r="F15" s="12"/>
      <c r="G15" s="12"/>
    </row>
    <row r="16" spans="1:9">
      <c r="A16" s="13" t="s">
        <v>35</v>
      </c>
      <c r="B16" s="13"/>
      <c r="C16" s="13"/>
      <c r="D16" s="13"/>
      <c r="E16" s="13"/>
      <c r="F16" s="12"/>
      <c r="G16" s="12"/>
    </row>
    <row r="17" spans="1:7">
      <c r="A17" s="13" t="s">
        <v>36</v>
      </c>
      <c r="B17" s="13"/>
      <c r="C17" s="13"/>
      <c r="D17" s="13"/>
      <c r="E17" s="13"/>
      <c r="F17" s="12"/>
      <c r="G17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A7733FFAF1AD4EA89F7BF568ACD5AA" ma:contentTypeVersion="4" ma:contentTypeDescription="Create a new document." ma:contentTypeScope="" ma:versionID="6702ed31b0f000857bc32546035b4026">
  <xsd:schema xmlns:xsd="http://www.w3.org/2001/XMLSchema" xmlns:xs="http://www.w3.org/2001/XMLSchema" xmlns:p="http://schemas.microsoft.com/office/2006/metadata/properties" xmlns:ns3="60ecbdf3-fb52-48d0-8353-68344bbaf8c7" targetNamespace="http://schemas.microsoft.com/office/2006/metadata/properties" ma:root="true" ma:fieldsID="1b17bf41c9bf774be98e6e4417da0fd6" ns3:_="">
    <xsd:import namespace="60ecbdf3-fb52-48d0-8353-68344bbaf8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ecbdf3-fb52-48d0-8353-68344bbaf8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269AE0-D580-4EC3-845F-89FBEF8FF4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ecbdf3-fb52-48d0-8353-68344bbaf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45FBA9-D65A-4508-B489-BBD039B672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35D31E-1372-43C5-A105-856E9B84F9E0}">
  <ds:schemaRefs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0ecbdf3-fb52-48d0-8353-68344bbaf8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 Analysis</vt:lpstr>
      <vt:lpstr>Player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 Okoroafor</dc:creator>
  <cp:lastModifiedBy>Ike Okoroafor</cp:lastModifiedBy>
  <dcterms:created xsi:type="dcterms:W3CDTF">2026-09-23T23:24:22Z</dcterms:created>
  <dcterms:modified xsi:type="dcterms:W3CDTF">2026-09-24T00:20:32Z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0x0101005AA7733FFAF1AD4EA89F7BF568ACD5AA</vt:lpwstr>
  </property>
</Properties>
</file>